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chmar\Documents\Github\Regression Toolbox\"/>
    </mc:Choice>
  </mc:AlternateContent>
  <xr:revisionPtr revIDLastSave="0" documentId="10_ncr:100000_{8EAAA3E3-3051-4EDA-9924-C8CF39812B9B}" xr6:coauthVersionLast="31" xr6:coauthVersionMax="31" xr10:uidLastSave="{00000000-0000-0000-0000-000000000000}"/>
  <bookViews>
    <workbookView xWindow="0" yWindow="0" windowWidth="23040" windowHeight="8748" xr2:uid="{00000000-000D-0000-FFFF-FFFF00000000}"/>
  </bookViews>
  <sheets>
    <sheet name="Sheet1" sheetId="1" r:id="rId1"/>
    <sheet name="Sheet2" sheetId="2" r:id="rId2"/>
  </sheets>
  <definedNames>
    <definedName name="bigX">Sheet1!$J$2:$N$14</definedName>
    <definedName name="inverseArr">Sheet1!$J$31:$N$35</definedName>
    <definedName name="transposeArr">Sheet1!$J$17:$V$21</definedName>
    <definedName name="XtXy">Sheet1!$J$24:$N$28</definedName>
    <definedName name="XtY">Sheet1!$J$38:$J$42</definedName>
    <definedName name="Y">Sheet1!$B$2:$B$14</definedName>
  </definedNames>
  <calcPr calcId="179017"/>
</workbook>
</file>

<file path=xl/calcChain.xml><?xml version="1.0" encoding="utf-8"?>
<calcChain xmlns="http://schemas.openxmlformats.org/spreadsheetml/2006/main">
  <c r="H14" i="2" l="1"/>
  <c r="G14" i="2"/>
  <c r="F14" i="2"/>
  <c r="E14" i="2"/>
  <c r="H13" i="2"/>
  <c r="G13" i="2"/>
  <c r="F13" i="2"/>
  <c r="E13" i="2"/>
  <c r="H12" i="2"/>
  <c r="G12" i="2"/>
  <c r="F12" i="2"/>
  <c r="E12" i="2"/>
  <c r="H11" i="2"/>
  <c r="G11" i="2"/>
  <c r="F11" i="2"/>
  <c r="E11" i="2"/>
  <c r="H10" i="2"/>
  <c r="G10" i="2"/>
  <c r="F10" i="2"/>
  <c r="E10" i="2"/>
  <c r="H9" i="2"/>
  <c r="G9" i="2"/>
  <c r="F9" i="2"/>
  <c r="E9" i="2"/>
  <c r="H8" i="2"/>
  <c r="G8" i="2"/>
  <c r="F8" i="2"/>
  <c r="E8" i="2"/>
  <c r="H7" i="2"/>
  <c r="G7" i="2"/>
  <c r="F7" i="2"/>
  <c r="E7" i="2"/>
  <c r="H6" i="2"/>
  <c r="G6" i="2"/>
  <c r="F6" i="2"/>
  <c r="E6" i="2"/>
  <c r="H5" i="2"/>
  <c r="G5" i="2"/>
  <c r="F5" i="2"/>
  <c r="E5" i="2"/>
  <c r="H4" i="2"/>
  <c r="G4" i="2"/>
  <c r="F4" i="2"/>
  <c r="E4" i="2"/>
  <c r="H3" i="2"/>
  <c r="G3" i="2"/>
  <c r="F3" i="2"/>
  <c r="E3" i="2"/>
  <c r="H2" i="2"/>
  <c r="G2" i="2"/>
  <c r="F2" i="2"/>
  <c r="E2" i="2"/>
  <c r="D14" i="2"/>
  <c r="C14" i="2"/>
  <c r="B14" i="2"/>
  <c r="D13" i="2"/>
  <c r="C13" i="2"/>
  <c r="B13" i="2"/>
  <c r="D12" i="2"/>
  <c r="C12" i="2"/>
  <c r="B12" i="2"/>
  <c r="D11" i="2"/>
  <c r="C11" i="2"/>
  <c r="B11" i="2"/>
  <c r="D10" i="2"/>
  <c r="C10" i="2"/>
  <c r="B10" i="2"/>
  <c r="D9" i="2"/>
  <c r="C9" i="2"/>
  <c r="B9" i="2"/>
  <c r="D8" i="2"/>
  <c r="C8" i="2"/>
  <c r="B8" i="2"/>
  <c r="D7" i="2"/>
  <c r="C7" i="2"/>
  <c r="B7" i="2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<sst xmlns="http://schemas.openxmlformats.org/spreadsheetml/2006/main" count="2" uniqueCount="2">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</sst>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center" vertical="center" wrapText="1"/>
    </xf>
    <xf numFmtId="0" fontId="0" fillId="0" borderId="0" xfId="0" applyNumberFormat="1"/>
    <xf numFmtId="0" fontId="0" fillId="0" borderId="0" xfId="0" applyFill="1" applyBorder="1" applyAlignment="1"/>
    <xf numFmtId="0" fontId="1" fillId="0" borderId="1" xfId="0" applyNumberFormat="1" applyFont="1" applyBorder="1" applyProtection="1"/>
    <xf numFmtId="0" fontId="3" fillId="0" borderId="0" xfId="0" applyFont="1" applyFill="1" applyBorder="1" applyAlignment="1">
      <alignment horizontal="center"/>
    </xf>
    <xf numFmtId="0" fontId="0" fillId="0" borderId="0" xfId="0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15</xdr:row>
          <xdr:rowOff>12700</xdr:rowOff>
        </xdr:from>
        <xdr:to>
          <xdr:col>1</xdr:col>
          <xdr:colOff>698500</xdr:colOff>
          <xdr:row>18</xdr:row>
          <xdr:rowOff>27940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4"/>
  <sheetViews>
    <sheetView tabSelected="1" zoomScale="110" zoomScaleNormal="110" workbookViewId="0">
      <selection activeCell="E16" sqref="E16"/>
    </sheetView>
  </sheetViews>
  <sheetFormatPr defaultRowHeight="13.2" x14ac:dyDescent="0.25"/>
  <cols>
    <col min="1" max="1" width="12" customWidth="1"/>
    <col min="2" max="2" width="12.21875" bestFit="1" customWidth="1"/>
    <col min="7" max="7" width="12.5546875" bestFit="1" customWidth="1"/>
    <col min="9" max="9" width="23.109375" customWidth="1"/>
    <col min="10" max="10" width="12.5546875" customWidth="1"/>
    <col min="11" max="13" width="11.77734375" bestFit="1" customWidth="1"/>
    <col min="14" max="14" width="12.33203125" bestFit="1" customWidth="1"/>
    <col min="15" max="15" width="11.21875" bestFit="1" customWidth="1"/>
  </cols>
  <sheetData>
    <row r="1" spans="1:10" x14ac:dyDescent="0.25">
      <c r="A1" s="2" t="s">
        <v>0</v>
      </c>
      <c r="B1" s="2" t="s">
        <v>1</v>
      </c>
      <c r="C1" s="1"/>
    </row>
    <row r="2" spans="1:10" x14ac:dyDescent="0.25">
      <c r="A2" s="5">
        <v>32</v>
      </c>
      <c r="B2" s="5">
        <v>1.794</v>
      </c>
      <c r="C2" s="1"/>
      <c r="D2" s="8"/>
      <c r="E2" s="8"/>
      <c r="F2" s="8"/>
      <c r="G2" s="8"/>
      <c r="H2" s="8"/>
      <c r="I2" s="8"/>
      <c r="J2" s="8"/>
    </row>
    <row r="3" spans="1:10" x14ac:dyDescent="0.25">
      <c r="A3" s="5">
        <v>40</v>
      </c>
      <c r="B3" s="5">
        <v>1.546</v>
      </c>
      <c r="C3" s="1"/>
      <c r="D3" s="8"/>
      <c r="E3" s="8"/>
      <c r="F3" s="8"/>
      <c r="G3" s="8"/>
      <c r="H3" s="8"/>
      <c r="I3" s="8"/>
      <c r="J3" s="8"/>
    </row>
    <row r="4" spans="1:10" x14ac:dyDescent="0.25">
      <c r="A4" s="5">
        <v>50</v>
      </c>
      <c r="B4" s="5">
        <v>1.31</v>
      </c>
      <c r="C4" s="1"/>
      <c r="D4" s="8"/>
      <c r="E4" s="8"/>
      <c r="F4" s="8"/>
      <c r="G4" s="8"/>
      <c r="H4" s="8"/>
      <c r="I4" s="8"/>
      <c r="J4" s="8"/>
    </row>
    <row r="5" spans="1:10" x14ac:dyDescent="0.25">
      <c r="A5" s="5">
        <v>60</v>
      </c>
      <c r="B5" s="5">
        <v>1.129</v>
      </c>
      <c r="C5" s="1"/>
      <c r="D5" s="8"/>
      <c r="E5" s="8"/>
      <c r="F5" s="8"/>
      <c r="G5" s="8"/>
      <c r="H5" s="8"/>
      <c r="I5" s="8"/>
      <c r="J5" s="8"/>
    </row>
    <row r="6" spans="1:10" x14ac:dyDescent="0.25">
      <c r="A6" s="5">
        <v>70</v>
      </c>
      <c r="B6" s="5">
        <v>0.98199999999999998</v>
      </c>
      <c r="C6" s="1"/>
      <c r="D6" s="8"/>
      <c r="E6" s="8"/>
      <c r="F6" s="8"/>
      <c r="G6" s="8"/>
      <c r="H6" s="8"/>
      <c r="I6" s="8"/>
      <c r="J6" s="8"/>
    </row>
    <row r="7" spans="1:10" x14ac:dyDescent="0.25">
      <c r="A7" s="5">
        <v>80</v>
      </c>
      <c r="B7" s="5">
        <v>0.86199999999999999</v>
      </c>
      <c r="C7" s="1"/>
      <c r="D7" s="8"/>
      <c r="E7" s="8"/>
      <c r="F7" s="8"/>
      <c r="G7" s="8"/>
      <c r="H7" s="8"/>
      <c r="I7" s="8"/>
      <c r="J7" s="8"/>
    </row>
    <row r="8" spans="1:10" x14ac:dyDescent="0.25">
      <c r="A8" s="5">
        <v>90</v>
      </c>
      <c r="B8" s="5">
        <v>0.76400000000000001</v>
      </c>
      <c r="C8" s="1"/>
      <c r="D8" s="8"/>
      <c r="E8" s="8"/>
      <c r="F8" s="8"/>
      <c r="G8" s="8"/>
      <c r="H8" s="8"/>
      <c r="I8" s="8"/>
      <c r="J8" s="8"/>
    </row>
    <row r="9" spans="1:10" x14ac:dyDescent="0.25">
      <c r="A9" s="5">
        <v>100</v>
      </c>
      <c r="B9" s="5">
        <v>0.68200000000000005</v>
      </c>
      <c r="C9" s="1"/>
      <c r="D9" s="8"/>
      <c r="E9" s="8"/>
      <c r="F9" s="8"/>
      <c r="G9" s="8"/>
      <c r="H9" s="8"/>
      <c r="I9" s="8"/>
      <c r="J9" s="8"/>
    </row>
    <row r="10" spans="1:10" x14ac:dyDescent="0.25">
      <c r="A10" s="5">
        <v>120</v>
      </c>
      <c r="B10" s="5">
        <v>0.55900000000000005</v>
      </c>
      <c r="C10" s="1"/>
      <c r="D10" s="8"/>
      <c r="E10" s="8"/>
      <c r="F10" s="8"/>
      <c r="G10" s="8"/>
      <c r="H10" s="8"/>
      <c r="I10" s="8"/>
      <c r="J10" s="8"/>
    </row>
    <row r="11" spans="1:10" x14ac:dyDescent="0.25">
      <c r="A11" s="5">
        <v>140</v>
      </c>
      <c r="B11" s="5">
        <v>0.47</v>
      </c>
      <c r="C11" s="1"/>
      <c r="D11" s="8"/>
      <c r="E11" s="8"/>
      <c r="F11" s="8"/>
      <c r="G11" s="8"/>
      <c r="H11" s="8"/>
      <c r="I11" s="8"/>
      <c r="J11" s="8"/>
    </row>
    <row r="12" spans="1:10" x14ac:dyDescent="0.25">
      <c r="A12" s="5">
        <v>160</v>
      </c>
      <c r="B12" s="5">
        <v>0.40100000000000002</v>
      </c>
      <c r="C12" s="1"/>
      <c r="D12" s="8"/>
      <c r="E12" s="8"/>
      <c r="F12" s="8"/>
      <c r="G12" s="8"/>
      <c r="H12" s="8"/>
      <c r="I12" s="8"/>
      <c r="J12" s="8"/>
    </row>
    <row r="13" spans="1:10" x14ac:dyDescent="0.25">
      <c r="A13" s="5">
        <v>180</v>
      </c>
      <c r="B13" s="5">
        <v>0.34699999999999998</v>
      </c>
      <c r="C13" s="1"/>
      <c r="D13" s="8"/>
      <c r="E13" s="8"/>
      <c r="F13" s="8"/>
      <c r="G13" s="8"/>
      <c r="H13" s="8"/>
      <c r="I13" s="8"/>
      <c r="J13" s="8"/>
    </row>
    <row r="14" spans="1:10" x14ac:dyDescent="0.25">
      <c r="A14" s="5">
        <v>200</v>
      </c>
      <c r="B14" s="5">
        <v>0.30499999999999999</v>
      </c>
      <c r="C14" s="1"/>
      <c r="D14" s="8"/>
      <c r="E14" s="8"/>
      <c r="F14" s="8"/>
      <c r="G14" s="8"/>
      <c r="H14" s="8"/>
      <c r="I14" s="8"/>
      <c r="J14" s="8"/>
    </row>
    <row r="18" spans="1:10" x14ac:dyDescent="0.25">
      <c r="A18" s="7"/>
      <c r="B18" s="7"/>
      <c r="C18" s="7"/>
    </row>
    <row r="19" spans="1:10" x14ac:dyDescent="0.25">
      <c r="A19" s="6"/>
      <c r="B19" s="6"/>
      <c r="C19" s="6"/>
    </row>
    <row r="20" spans="1:10" x14ac:dyDescent="0.25">
      <c r="A20" s="4"/>
      <c r="B20" s="4"/>
      <c r="C20" s="4"/>
    </row>
    <row r="21" spans="1:10" x14ac:dyDescent="0.25">
      <c r="A21" s="4"/>
      <c r="B21" s="4"/>
      <c r="C21" s="4"/>
    </row>
    <row r="22" spans="1:10" x14ac:dyDescent="0.25">
      <c r="A22" s="4"/>
      <c r="B22" s="4"/>
      <c r="C22" s="4"/>
    </row>
    <row r="23" spans="1:10" x14ac:dyDescent="0.25">
      <c r="A23" s="4"/>
      <c r="B23" s="4"/>
      <c r="C23" s="4"/>
    </row>
    <row r="24" spans="1:10" x14ac:dyDescent="0.25">
      <c r="A24" s="4"/>
      <c r="B24" s="4"/>
      <c r="C24" s="4"/>
    </row>
    <row r="25" spans="1:10" x14ac:dyDescent="0.25">
      <c r="A25" s="4"/>
      <c r="B25" s="4"/>
      <c r="C25" s="4"/>
    </row>
    <row r="26" spans="1:10" x14ac:dyDescent="0.25">
      <c r="A26" s="4"/>
      <c r="B26" s="4"/>
      <c r="C26" s="4"/>
    </row>
    <row r="27" spans="1:10" x14ac:dyDescent="0.25">
      <c r="A27" s="4"/>
      <c r="B27" s="4"/>
      <c r="C27" s="4"/>
    </row>
    <row r="28" spans="1:10" x14ac:dyDescent="0.25">
      <c r="A28" s="4"/>
      <c r="B28" s="4"/>
      <c r="C28" s="4"/>
    </row>
    <row r="29" spans="1:10" x14ac:dyDescent="0.25">
      <c r="A29" s="4"/>
      <c r="B29" s="4"/>
      <c r="C29" s="4"/>
    </row>
    <row r="30" spans="1:10" x14ac:dyDescent="0.25">
      <c r="A30" s="4"/>
      <c r="B30" s="4"/>
      <c r="C30" s="4"/>
    </row>
    <row r="31" spans="1:10" x14ac:dyDescent="0.25">
      <c r="A31" s="4"/>
      <c r="B31" s="4"/>
      <c r="C31" s="4"/>
      <c r="J31" s="3"/>
    </row>
    <row r="32" spans="1:10" x14ac:dyDescent="0.25">
      <c r="A32" s="4"/>
      <c r="B32" s="4"/>
      <c r="C32" s="4"/>
      <c r="D32" s="7"/>
    </row>
    <row r="33" spans="1:4" x14ac:dyDescent="0.25">
      <c r="A33" s="7"/>
      <c r="B33" s="7"/>
      <c r="C33" s="7"/>
      <c r="D33" s="7"/>
    </row>
    <row r="34" spans="1:4" x14ac:dyDescent="0.25">
      <c r="A34" s="7"/>
      <c r="B34" s="7"/>
      <c r="C34" s="7"/>
      <c r="D34" s="7"/>
    </row>
  </sheetData>
  <phoneticPr fontId="0" type="noConversion"/>
  <printOptions gridLines="1"/>
  <pageMargins left="0.75" right="0.75" top="1" bottom="1" header="0.5" footer="0.5"/>
  <pageSetup orientation="portrait" horizontalDpi="360" r:id="rId1"/>
  <headerFooter alignWithMargins="0"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0</xdr:col>
                    <xdr:colOff>358140</xdr:colOff>
                    <xdr:row>15</xdr:row>
                    <xdr:rowOff>15240</xdr:rowOff>
                  </from>
                  <to>
                    <xdr:col>1</xdr:col>
                    <xdr:colOff>701040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6A42C-DC14-4410-BA68-4D18FCA7F4BE}">
  <sheetPr codeName="Sheet2"/>
  <dimension ref="A2:H28"/>
  <sheetViews>
    <sheetView workbookViewId="0">
      <selection activeCell="F15" sqref="F15"/>
    </sheetView>
  </sheetViews>
  <sheetFormatPr defaultRowHeight="13.2" x14ac:dyDescent="0.25"/>
  <sheetData>
    <row r="2" spans="1:8" x14ac:dyDescent="0.25">
      <c r="A2">
        <v>1</v>
      </c>
      <c r="B2">
        <f>32^2</f>
        <v>1024</v>
      </c>
      <c r="C2">
        <f>SQRT(32)</f>
        <v>5.6568542494923806</v>
      </c>
      <c r="D2">
        <f>1/32</f>
        <v>3.125E-2</v>
      </c>
      <c r="E2">
        <f>32^2</f>
        <v>1024</v>
      </c>
      <c r="F2">
        <f>SQRT(32)</f>
        <v>5.6568542494923806</v>
      </c>
      <c r="G2">
        <f>1/32</f>
        <v>3.125E-2</v>
      </c>
      <c r="H2">
        <f>LN(32)</f>
        <v>3.4657359027997265</v>
      </c>
    </row>
    <row r="3" spans="1:8" x14ac:dyDescent="0.25">
      <c r="A3">
        <v>1</v>
      </c>
      <c r="B3">
        <f>40^2</f>
        <v>1600</v>
      </c>
      <c r="C3">
        <f>SQRT(40)</f>
        <v>6.324555320336759</v>
      </c>
      <c r="D3">
        <f>1/40</f>
        <v>2.5000000000000001E-2</v>
      </c>
      <c r="E3">
        <f>40^2</f>
        <v>1600</v>
      </c>
      <c r="F3">
        <f>SQRT(40)</f>
        <v>6.324555320336759</v>
      </c>
      <c r="G3">
        <f>1/40</f>
        <v>2.5000000000000001E-2</v>
      </c>
      <c r="H3">
        <f>LN(40)</f>
        <v>3.6888794541139363</v>
      </c>
    </row>
    <row r="4" spans="1:8" x14ac:dyDescent="0.25">
      <c r="A4">
        <v>1</v>
      </c>
      <c r="B4">
        <f>50^2</f>
        <v>2500</v>
      </c>
      <c r="C4">
        <f>SQRT(50)</f>
        <v>7.0710678118654755</v>
      </c>
      <c r="D4">
        <f>1/50</f>
        <v>0.02</v>
      </c>
      <c r="E4">
        <f>50^2</f>
        <v>2500</v>
      </c>
      <c r="F4">
        <f>SQRT(50)</f>
        <v>7.0710678118654755</v>
      </c>
      <c r="G4">
        <f>1/50</f>
        <v>0.02</v>
      </c>
      <c r="H4">
        <f>LN(50)</f>
        <v>3.912023005428146</v>
      </c>
    </row>
    <row r="5" spans="1:8" x14ac:dyDescent="0.25">
      <c r="A5">
        <v>1</v>
      </c>
      <c r="B5">
        <f>60^2</f>
        <v>3600</v>
      </c>
      <c r="C5">
        <f>SQRT(60)</f>
        <v>7.745966692414834</v>
      </c>
      <c r="D5">
        <f>1/60</f>
        <v>1.6666666666666666E-2</v>
      </c>
      <c r="E5">
        <f>60^2</f>
        <v>3600</v>
      </c>
      <c r="F5">
        <f>SQRT(60)</f>
        <v>7.745966692414834</v>
      </c>
      <c r="G5">
        <f>1/60</f>
        <v>1.6666666666666666E-2</v>
      </c>
      <c r="H5">
        <f>LN(60)</f>
        <v>4.0943445622221004</v>
      </c>
    </row>
    <row r="6" spans="1:8" x14ac:dyDescent="0.25">
      <c r="A6">
        <v>1</v>
      </c>
      <c r="B6">
        <f>70^2</f>
        <v>4900</v>
      </c>
      <c r="C6">
        <f>SQRT(70)</f>
        <v>8.3666002653407556</v>
      </c>
      <c r="D6">
        <f>1/70</f>
        <v>1.4285714285714285E-2</v>
      </c>
      <c r="E6">
        <f>70^2</f>
        <v>4900</v>
      </c>
      <c r="F6">
        <f>SQRT(70)</f>
        <v>8.3666002653407556</v>
      </c>
      <c r="G6">
        <f>1/70</f>
        <v>1.4285714285714285E-2</v>
      </c>
      <c r="H6">
        <f>LN(70)</f>
        <v>4.2484952420493594</v>
      </c>
    </row>
    <row r="7" spans="1:8" x14ac:dyDescent="0.25">
      <c r="A7">
        <v>1</v>
      </c>
      <c r="B7">
        <f>80^2</f>
        <v>6400</v>
      </c>
      <c r="C7">
        <f>SQRT(80)</f>
        <v>8.9442719099991592</v>
      </c>
      <c r="D7">
        <f>1/80</f>
        <v>1.2500000000000001E-2</v>
      </c>
      <c r="E7">
        <f>80^2</f>
        <v>6400</v>
      </c>
      <c r="F7">
        <f>SQRT(80)</f>
        <v>8.9442719099991592</v>
      </c>
      <c r="G7">
        <f>1/80</f>
        <v>1.2500000000000001E-2</v>
      </c>
      <c r="H7">
        <f>LN(80)</f>
        <v>4.3820266346738812</v>
      </c>
    </row>
    <row r="8" spans="1:8" x14ac:dyDescent="0.25">
      <c r="A8">
        <v>1</v>
      </c>
      <c r="B8">
        <f>90^2</f>
        <v>8100</v>
      </c>
      <c r="C8">
        <f>SQRT(90)</f>
        <v>9.4868329805051381</v>
      </c>
      <c r="D8">
        <f>1/90</f>
        <v>1.1111111111111112E-2</v>
      </c>
      <c r="E8">
        <f>90^2</f>
        <v>8100</v>
      </c>
      <c r="F8">
        <f>SQRT(90)</f>
        <v>9.4868329805051381</v>
      </c>
      <c r="G8">
        <f>1/90</f>
        <v>1.1111111111111112E-2</v>
      </c>
      <c r="H8">
        <f>LN(90)</f>
        <v>4.499809670330265</v>
      </c>
    </row>
    <row r="9" spans="1:8" x14ac:dyDescent="0.25">
      <c r="A9">
        <v>1</v>
      </c>
      <c r="B9">
        <f>100^2</f>
        <v>10000</v>
      </c>
      <c r="C9">
        <f>SQRT(100)</f>
        <v>10</v>
      </c>
      <c r="D9">
        <f>1/100</f>
        <v>0.01</v>
      </c>
      <c r="E9">
        <f>100^2</f>
        <v>10000</v>
      </c>
      <c r="F9">
        <f>SQRT(100)</f>
        <v>10</v>
      </c>
      <c r="G9">
        <f>1/100</f>
        <v>0.01</v>
      </c>
      <c r="H9">
        <f>LN(100)</f>
        <v>4.6051701859880918</v>
      </c>
    </row>
    <row r="10" spans="1:8" x14ac:dyDescent="0.25">
      <c r="A10">
        <v>1</v>
      </c>
      <c r="B10">
        <f>120^2</f>
        <v>14400</v>
      </c>
      <c r="C10">
        <f>SQRT(120)</f>
        <v>10.954451150103322</v>
      </c>
      <c r="D10">
        <f>1/120</f>
        <v>8.3333333333333332E-3</v>
      </c>
      <c r="E10">
        <f>120^2</f>
        <v>14400</v>
      </c>
      <c r="F10">
        <f>SQRT(120)</f>
        <v>10.954451150103322</v>
      </c>
      <c r="G10">
        <f>1/120</f>
        <v>8.3333333333333332E-3</v>
      </c>
      <c r="H10">
        <f>LN(120)</f>
        <v>4.7874917427820458</v>
      </c>
    </row>
    <row r="11" spans="1:8" x14ac:dyDescent="0.25">
      <c r="A11">
        <v>1</v>
      </c>
      <c r="B11">
        <f>140^2</f>
        <v>19600</v>
      </c>
      <c r="C11">
        <f>SQRT(140)</f>
        <v>11.832159566199232</v>
      </c>
      <c r="D11">
        <f>1/140</f>
        <v>7.1428571428571426E-3</v>
      </c>
      <c r="E11">
        <f>140^2</f>
        <v>19600</v>
      </c>
      <c r="F11">
        <f>SQRT(140)</f>
        <v>11.832159566199232</v>
      </c>
      <c r="G11">
        <f>1/140</f>
        <v>7.1428571428571426E-3</v>
      </c>
      <c r="H11">
        <f>LN(140)</f>
        <v>4.9416424226093039</v>
      </c>
    </row>
    <row r="12" spans="1:8" x14ac:dyDescent="0.25">
      <c r="A12">
        <v>1</v>
      </c>
      <c r="B12">
        <f>160^2</f>
        <v>25600</v>
      </c>
      <c r="C12">
        <f>SQRT(160)</f>
        <v>12.649110640673518</v>
      </c>
      <c r="D12">
        <f>1/160</f>
        <v>6.2500000000000003E-3</v>
      </c>
      <c r="E12">
        <f>160^2</f>
        <v>25600</v>
      </c>
      <c r="F12">
        <f>SQRT(160)</f>
        <v>12.649110640673518</v>
      </c>
      <c r="G12">
        <f>1/160</f>
        <v>6.2500000000000003E-3</v>
      </c>
      <c r="H12">
        <f>LN(160)</f>
        <v>5.0751738152338266</v>
      </c>
    </row>
    <row r="13" spans="1:8" x14ac:dyDescent="0.25">
      <c r="A13">
        <v>1</v>
      </c>
      <c r="B13">
        <f>180^2</f>
        <v>32400</v>
      </c>
      <c r="C13">
        <f>SQRT(180)</f>
        <v>13.416407864998739</v>
      </c>
      <c r="D13">
        <f>1/180</f>
        <v>5.5555555555555558E-3</v>
      </c>
      <c r="E13">
        <f>180^2</f>
        <v>32400</v>
      </c>
      <c r="F13">
        <f>SQRT(180)</f>
        <v>13.416407864998739</v>
      </c>
      <c r="G13">
        <f>1/180</f>
        <v>5.5555555555555558E-3</v>
      </c>
      <c r="H13">
        <f>LN(180)</f>
        <v>5.1929568508902104</v>
      </c>
    </row>
    <row r="14" spans="1:8" x14ac:dyDescent="0.25">
      <c r="A14">
        <v>1</v>
      </c>
      <c r="B14">
        <f>200^2</f>
        <v>40000</v>
      </c>
      <c r="C14">
        <f>SQRT(200)</f>
        <v>14.142135623730951</v>
      </c>
      <c r="D14">
        <f>1/200</f>
        <v>5.0000000000000001E-3</v>
      </c>
      <c r="E14">
        <f>200^2</f>
        <v>40000</v>
      </c>
      <c r="F14">
        <f>SQRT(200)</f>
        <v>14.142135623730951</v>
      </c>
      <c r="G14">
        <f>1/200</f>
        <v>5.0000000000000001E-3</v>
      </c>
      <c r="H14">
        <f>LN(200)</f>
        <v>5.2983173665480363</v>
      </c>
    </row>
    <row r="16" spans="1:8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bigX</vt:lpstr>
      <vt:lpstr>inverseArr</vt:lpstr>
      <vt:lpstr>transposeArr</vt:lpstr>
      <vt:lpstr>XtXy</vt:lpstr>
      <vt:lpstr>XtY</vt:lpstr>
      <vt:lpstr>Y</vt:lpstr>
    </vt:vector>
  </TitlesOfParts>
  <Company>University of Colorado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Clough</dc:creator>
  <cp:lastModifiedBy>Larisa Steigenberger</cp:lastModifiedBy>
  <dcterms:created xsi:type="dcterms:W3CDTF">2000-01-17T07:56:45Z</dcterms:created>
  <dcterms:modified xsi:type="dcterms:W3CDTF">2020-12-23T14:25:04Z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2020-12-21T12:08:05.9632381Z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b0c8e813-ecf4-4696-a838-c5b9bd07967d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2020-12-21T12:08:05.9642356Z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b0c8e813-ecf4-4696-a838-c5b9bd07967d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