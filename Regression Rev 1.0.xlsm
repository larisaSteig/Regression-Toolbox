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ochmar\Documents\Github\Regression Toolbox\"/>
    </mc:Choice>
  </mc:AlternateContent>
  <xr:revisionPtr revIDLastSave="0" documentId="8_{279B49EE-65DA-4E6D-9291-1C6F746C3787}" xr6:coauthVersionLast="31" xr6:coauthVersionMax="31" xr10:uidLastSave="{00000000-0000-0000-0000-000000000000}"/>
  <bookViews>
    <workbookView xWindow="0" yWindow="0" windowWidth="23040" windowHeight="8748" activeTab="1" xr2:uid="{00000000-000D-0000-FFFF-FFFF00000000}"/>
  </bookViews>
  <sheets>
    <sheet name="Sheet3" sheetId="3" r:id="rId1"/>
    <sheet name="Sheet1" sheetId="1" r:id="rId2"/>
    <sheet name="Sheet2" sheetId="2" r:id="rId3"/>
  </sheets>
  <definedNames>
    <definedName name="bigX">Sheet1!$J$4:$N$16</definedName>
    <definedName name="inverseArr">Sheet1!$J$33:$N$37</definedName>
    <definedName name="transposeArr">Sheet1!$J$19:$V$23</definedName>
    <definedName name="XtXy">Sheet1!$J$26:$N$30</definedName>
    <definedName name="XtY">Sheet1!$J$40:$J$44</definedName>
    <definedName name="Y">Sheet1!$B$4:$B$16</definedName>
  </definedNames>
  <calcPr calcId="179017"/>
</workbook>
</file>

<file path=xl/calcChain.xml><?xml version="1.0" encoding="utf-8"?>
<calcChain xmlns="http://schemas.openxmlformats.org/spreadsheetml/2006/main">
  <c r="L40" i="1" l="1" a="1"/>
  <c r="L42" i="1" s="1"/>
  <c r="J33" i="1" a="1"/>
  <c r="J33" i="1" s="1"/>
  <c r="J26" i="1" a="1"/>
  <c r="J26" i="1" s="1"/>
  <c r="J40" i="1" a="1"/>
  <c r="J42" i="1" s="1"/>
  <c r="J19" i="1" a="1"/>
  <c r="L19" i="1" s="1"/>
  <c r="L41" i="1" l="1"/>
  <c r="L40" i="1"/>
  <c r="L44" i="1"/>
  <c r="L43" i="1"/>
  <c r="M37" i="1"/>
  <c r="L34" i="1"/>
  <c r="K34" i="1"/>
  <c r="M35" i="1"/>
  <c r="J34" i="1"/>
  <c r="J37" i="1"/>
  <c r="L35" i="1"/>
  <c r="N33" i="1"/>
  <c r="N35" i="1"/>
  <c r="N36" i="1"/>
  <c r="K35" i="1"/>
  <c r="M33" i="1"/>
  <c r="J36" i="1"/>
  <c r="L37" i="1"/>
  <c r="K37" i="1"/>
  <c r="M36" i="1"/>
  <c r="J35" i="1"/>
  <c r="L33" i="1"/>
  <c r="L36" i="1"/>
  <c r="N34" i="1"/>
  <c r="K33" i="1"/>
  <c r="N37" i="1"/>
  <c r="K36" i="1"/>
  <c r="M34" i="1"/>
  <c r="L30" i="1"/>
  <c r="N28" i="1"/>
  <c r="K27" i="1"/>
  <c r="J30" i="1"/>
  <c r="K28" i="1"/>
  <c r="M30" i="1"/>
  <c r="J29" i="1"/>
  <c r="L27" i="1"/>
  <c r="K30" i="1"/>
  <c r="M28" i="1"/>
  <c r="J27" i="1"/>
  <c r="N26" i="1"/>
  <c r="M26" i="1"/>
  <c r="M29" i="1"/>
  <c r="J28" i="1"/>
  <c r="L26" i="1"/>
  <c r="L29" i="1"/>
  <c r="N27" i="1"/>
  <c r="K26" i="1"/>
  <c r="L28" i="1"/>
  <c r="N29" i="1"/>
  <c r="N30" i="1"/>
  <c r="K29" i="1"/>
  <c r="M27" i="1"/>
  <c r="J41" i="1"/>
  <c r="J43" i="1"/>
  <c r="J40" i="1"/>
  <c r="J44" i="1"/>
  <c r="T23" i="1"/>
  <c r="L23" i="1"/>
  <c r="Q22" i="1"/>
  <c r="V21" i="1"/>
  <c r="N21" i="1"/>
  <c r="S20" i="1"/>
  <c r="K20" i="1"/>
  <c r="P19" i="1"/>
  <c r="S23" i="1"/>
  <c r="K23" i="1"/>
  <c r="P22" i="1"/>
  <c r="U21" i="1"/>
  <c r="M21" i="1"/>
  <c r="R20" i="1"/>
  <c r="J20" i="1"/>
  <c r="O19" i="1"/>
  <c r="T22" i="1"/>
  <c r="V20" i="1"/>
  <c r="S19" i="1"/>
  <c r="N23" i="1"/>
  <c r="P21" i="1"/>
  <c r="R19" i="1"/>
  <c r="J22" i="1"/>
  <c r="R23" i="1"/>
  <c r="O22" i="1"/>
  <c r="T21" i="1"/>
  <c r="Q20" i="1"/>
  <c r="V19" i="1"/>
  <c r="N19" i="1"/>
  <c r="O23" i="1"/>
  <c r="L22" i="1"/>
  <c r="Q21" i="1"/>
  <c r="N20" i="1"/>
  <c r="K19" i="1"/>
  <c r="V23" i="1"/>
  <c r="S22" i="1"/>
  <c r="K22" i="1"/>
  <c r="U20" i="1"/>
  <c r="M20" i="1"/>
  <c r="J19" i="1"/>
  <c r="U23" i="1"/>
  <c r="M23" i="1"/>
  <c r="R22" i="1"/>
  <c r="O21" i="1"/>
  <c r="T20" i="1"/>
  <c r="L20" i="1"/>
  <c r="Q19" i="1"/>
  <c r="J23" i="1"/>
  <c r="L21" i="1"/>
  <c r="Q23" i="1"/>
  <c r="V22" i="1"/>
  <c r="N22" i="1"/>
  <c r="S21" i="1"/>
  <c r="K21" i="1"/>
  <c r="P20" i="1"/>
  <c r="U19" i="1"/>
  <c r="M19" i="1"/>
  <c r="P23" i="1"/>
  <c r="U22" i="1"/>
  <c r="M22" i="1"/>
  <c r="R21" i="1"/>
  <c r="J21" i="1"/>
  <c r="O20" i="1"/>
  <c r="T19" i="1"/>
  <c r="F4" i="1" l="1" a="1"/>
  <c r="F4" i="1" s="1"/>
  <c r="E4" i="1" a="1"/>
  <c r="E4" i="1" s="1"/>
  <c r="D5" i="1"/>
  <c r="D6" i="1"/>
  <c r="D7" i="1"/>
  <c r="D8" i="1"/>
  <c r="D9" i="1"/>
  <c r="D10" i="1"/>
  <c r="D11" i="1"/>
  <c r="D12" i="1"/>
  <c r="D13" i="1"/>
  <c r="D14" i="1"/>
  <c r="D15" i="1"/>
  <c r="D16" i="1"/>
  <c r="D4" i="1"/>
  <c r="F6" i="1" l="1"/>
  <c r="F11" i="1"/>
  <c r="F16" i="1"/>
  <c r="F10" i="1"/>
  <c r="F9" i="1"/>
  <c r="F8" i="1"/>
  <c r="F15" i="1"/>
  <c r="F7" i="1"/>
  <c r="F14" i="1"/>
  <c r="F13" i="1"/>
  <c r="F5" i="1"/>
  <c r="F12" i="1"/>
  <c r="E15" i="1"/>
  <c r="E14" i="1"/>
  <c r="E13" i="1"/>
  <c r="E12" i="1"/>
  <c r="E11" i="1"/>
  <c r="E10" i="1"/>
  <c r="E9" i="1"/>
  <c r="E8" i="1"/>
  <c r="E7" i="1"/>
  <c r="E16" i="1"/>
  <c r="E6" i="1"/>
  <c r="E5" i="1"/>
  <c r="C4" i="1" a="1"/>
  <c r="C6" i="1" s="1"/>
  <c r="C10" i="1" l="1"/>
  <c r="C9" i="1"/>
  <c r="C13" i="1"/>
  <c r="C5" i="1"/>
  <c r="C12" i="1"/>
  <c r="C4" i="1"/>
  <c r="C11" i="1"/>
  <c r="C16" i="1"/>
  <c r="C8" i="1"/>
  <c r="C15" i="1"/>
  <c r="C7" i="1"/>
  <c r="C14" i="1"/>
</calcChain>
</file>

<file path=xl/sharedStrings.xml><?xml version="1.0" encoding="utf-8"?>
<sst xmlns="http://schemas.openxmlformats.org/spreadsheetml/2006/main" count="41" uniqueCount="40">
  <si>
    <t>x</t>
  </si>
  <si>
    <t>y</t>
  </si>
  <si>
    <t>x^2</t>
  </si>
  <si>
    <t>sqrt(x)</t>
  </si>
  <si>
    <t>1/x</t>
  </si>
  <si>
    <t>ln(x)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</si>
  <si>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</si>
  <si>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</si>
  <si>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</si>
  <si>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</si>
  <si>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</si>
  <si>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</si>
  <si>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</si>
  <si>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</si>
  <si>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</si>
  <si>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</si>
  <si>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</si>
  <si>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</si>
  <si>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</si>
  <si>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</si>
  <si>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</si>
  <si>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</si>
  <si>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</si>
  <si>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</si>
  <si>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</si>
  <si>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</si>
  <si>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</si>
  <si>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</si>
  <si>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</si>
  <si>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</si>
  <si>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</si>
  <si>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</si>
  <si>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X Variable 3</t>
  </si>
  <si>
    <t>X Variable 4</t>
  </si>
  <si>
    <t>big X</t>
  </si>
  <si>
    <t>inverse/ bigx*transpose</t>
  </si>
  <si>
    <t>XtY</t>
  </si>
  <si>
    <t>betta</t>
  </si>
  <si>
    <t>transposeX:Xt</t>
  </si>
  <si>
    <t>XtX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</si>
</sst>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10"/>
      <color rgb="FF00000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 vertical="center" wrapText="1"/>
    </xf>
    <xf numFmtId="0" fontId="0" fillId="0" borderId="0" xfId="0" applyNumberFormat="1"/>
    <xf numFmtId="0" fontId="0" fillId="0" borderId="0" xfId="0" applyFill="1" applyBorder="1" applyAlignment="1"/>
    <xf numFmtId="0" fontId="0" fillId="0" borderId="2" xfId="0" applyFill="1" applyBorder="1" applyAlignment="1"/>
    <xf numFmtId="0" fontId="4" fillId="0" borderId="3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Continuous"/>
    </xf>
    <xf numFmtId="0" fontId="1" fillId="0" borderId="1" xfId="0" applyNumberFormat="1" applyFont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0</xdr:rowOff>
    </xdr:from>
    <xdr:to>
      <xdr:col>14</xdr:col>
      <xdr:colOff>541925</xdr:colOff>
      <xdr:row>36</xdr:row>
      <xdr:rowOff>38234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AAC926-1860-4FA9-A084-B2F8B8D23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4572000"/>
          <a:ext cx="10447925" cy="15469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</xdr:colOff>
          <xdr:row>16</xdr:row>
          <xdr:rowOff>68580</xdr:rowOff>
        </xdr:from>
        <xdr:to>
          <xdr:col>6</xdr:col>
          <xdr:colOff>129540</xdr:colOff>
          <xdr:row>19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34796-3DB4-47C1-905C-D0360CB9D443}">
  <sheetPr codeName="Sheet3"/>
  <dimension ref="A1:I21"/>
  <sheetViews>
    <sheetView topLeftCell="A4" workbookViewId="0">
      <selection activeCell="B28" sqref="B28"/>
    </sheetView>
  </sheetViews>
  <sheetFormatPr defaultRowHeight="13.2" x14ac:dyDescent="0.25"/>
  <cols>
    <col min="2" max="2" width="37.77734375" customWidth="1"/>
  </cols>
  <sheetData>
    <row r="1" spans="1:9" x14ac:dyDescent="0.25">
      <c r="A1" t="s">
        <v>6</v>
      </c>
    </row>
    <row r="2" spans="1:9" ht="13.8" thickBot="1" x14ac:dyDescent="0.3"/>
    <row r="3" spans="1:9" x14ac:dyDescent="0.25">
      <c r="A3" s="9" t="s">
        <v>7</v>
      </c>
      <c r="B3" s="9"/>
    </row>
    <row r="4" spans="1:9" x14ac:dyDescent="0.25">
      <c r="A4" s="6" t="s">
        <v>8</v>
      </c>
      <c r="B4" s="6">
        <v>0.99999509747493587</v>
      </c>
    </row>
    <row r="5" spans="1:9" x14ac:dyDescent="0.25">
      <c r="A5" s="6" t="s">
        <v>9</v>
      </c>
      <c r="B5" s="6">
        <v>0.9999901949739064</v>
      </c>
    </row>
    <row r="6" spans="1:9" x14ac:dyDescent="0.25">
      <c r="A6" s="6" t="s">
        <v>10</v>
      </c>
      <c r="B6" s="6">
        <v>0.99998529246085965</v>
      </c>
    </row>
    <row r="7" spans="1:9" x14ac:dyDescent="0.25">
      <c r="A7" s="6" t="s">
        <v>11</v>
      </c>
      <c r="B7" s="6">
        <v>1.8184836258760804E-3</v>
      </c>
    </row>
    <row r="8" spans="1:9" ht="13.8" thickBot="1" x14ac:dyDescent="0.3">
      <c r="A8" s="7" t="s">
        <v>12</v>
      </c>
      <c r="B8" s="7">
        <v>13</v>
      </c>
    </row>
    <row r="10" spans="1:9" ht="13.8" thickBot="1" x14ac:dyDescent="0.3">
      <c r="A10" t="s">
        <v>13</v>
      </c>
    </row>
    <row r="11" spans="1:9" x14ac:dyDescent="0.25">
      <c r="A11" s="8"/>
      <c r="B11" s="8" t="s">
        <v>18</v>
      </c>
      <c r="C11" s="8" t="s">
        <v>19</v>
      </c>
      <c r="D11" s="8" t="s">
        <v>20</v>
      </c>
      <c r="E11" s="8" t="s">
        <v>21</v>
      </c>
      <c r="F11" s="8" t="s">
        <v>22</v>
      </c>
    </row>
    <row r="12" spans="1:9" x14ac:dyDescent="0.25">
      <c r="A12" s="6" t="s">
        <v>14</v>
      </c>
      <c r="B12" s="6">
        <v>4</v>
      </c>
      <c r="C12" s="6">
        <v>2.6980858526307268</v>
      </c>
      <c r="D12" s="6">
        <v>0.67452146315768169</v>
      </c>
      <c r="E12" s="6">
        <v>203975.01963145542</v>
      </c>
      <c r="F12" s="6">
        <v>4.6212728695698077E-20</v>
      </c>
    </row>
    <row r="13" spans="1:9" x14ac:dyDescent="0.25">
      <c r="A13" s="6" t="s">
        <v>15</v>
      </c>
      <c r="B13" s="6">
        <v>8</v>
      </c>
      <c r="C13" s="6">
        <v>2.6455061580635329E-5</v>
      </c>
      <c r="D13" s="6">
        <v>3.3068826975794161E-6</v>
      </c>
      <c r="E13" s="6"/>
      <c r="F13" s="6"/>
    </row>
    <row r="14" spans="1:9" ht="13.8" thickBot="1" x14ac:dyDescent="0.3">
      <c r="A14" s="7" t="s">
        <v>16</v>
      </c>
      <c r="B14" s="7">
        <v>12</v>
      </c>
      <c r="C14" s="7">
        <v>2.6981123076923073</v>
      </c>
      <c r="D14" s="7"/>
      <c r="E14" s="7"/>
      <c r="F14" s="7"/>
    </row>
    <row r="15" spans="1:9" ht="13.8" thickBot="1" x14ac:dyDescent="0.3"/>
    <row r="16" spans="1:9" x14ac:dyDescent="0.25">
      <c r="A16" s="8"/>
      <c r="B16" s="8" t="s">
        <v>23</v>
      </c>
      <c r="C16" s="8" t="s">
        <v>11</v>
      </c>
      <c r="D16" s="8" t="s">
        <v>24</v>
      </c>
      <c r="E16" s="8" t="s">
        <v>25</v>
      </c>
      <c r="F16" s="8" t="s">
        <v>26</v>
      </c>
      <c r="G16" s="8" t="s">
        <v>27</v>
      </c>
      <c r="H16" s="8" t="s">
        <v>28</v>
      </c>
      <c r="I16" s="8" t="s">
        <v>29</v>
      </c>
    </row>
    <row r="17" spans="1:9" x14ac:dyDescent="0.25">
      <c r="A17" s="6" t="s">
        <v>17</v>
      </c>
      <c r="B17" s="6">
        <v>9.5072956296959497</v>
      </c>
      <c r="C17" s="6">
        <v>0.55656315826950731</v>
      </c>
      <c r="D17" s="6">
        <v>17.082150495294165</v>
      </c>
      <c r="E17" s="6">
        <v>1.4014618037827373E-7</v>
      </c>
      <c r="F17" s="6">
        <v>8.2238586852241742</v>
      </c>
      <c r="G17" s="6">
        <v>10.790732574167725</v>
      </c>
      <c r="H17" s="6">
        <v>8.2238586852241742</v>
      </c>
      <c r="I17" s="6">
        <v>10.790732574167725</v>
      </c>
    </row>
    <row r="18" spans="1:9" x14ac:dyDescent="0.25">
      <c r="A18" s="6" t="s">
        <v>30</v>
      </c>
      <c r="B18" s="6">
        <v>-5.8201348853450725E-6</v>
      </c>
      <c r="C18" s="6">
        <v>1.3052227495284499E-6</v>
      </c>
      <c r="D18" s="6">
        <v>-4.4591123526216254</v>
      </c>
      <c r="E18" s="6">
        <v>2.1135537766264682E-3</v>
      </c>
      <c r="F18" s="6">
        <v>-8.8299839431202313E-6</v>
      </c>
      <c r="G18" s="6">
        <v>-2.8102858275699142E-6</v>
      </c>
      <c r="H18" s="6">
        <v>-8.8299839431202313E-6</v>
      </c>
      <c r="I18" s="6">
        <v>-2.8102858275699142E-6</v>
      </c>
    </row>
    <row r="19" spans="1:9" x14ac:dyDescent="0.25">
      <c r="A19" s="6" t="s">
        <v>31</v>
      </c>
      <c r="B19" s="6">
        <v>0.38111815489790773</v>
      </c>
      <c r="C19" s="6">
        <v>3.7551778228799286E-2</v>
      </c>
      <c r="D19" s="6">
        <v>10.149137347791957</v>
      </c>
      <c r="E19" s="6">
        <v>7.5992059609089871E-6</v>
      </c>
      <c r="F19" s="6">
        <v>0.29452359901802677</v>
      </c>
      <c r="G19" s="6">
        <v>0.4677127107777887</v>
      </c>
      <c r="H19" s="6">
        <v>0.29452359901802677</v>
      </c>
      <c r="I19" s="6">
        <v>0.4677127107777887</v>
      </c>
    </row>
    <row r="20" spans="1:9" x14ac:dyDescent="0.25">
      <c r="A20" s="6" t="s">
        <v>32</v>
      </c>
      <c r="B20" s="6">
        <v>-16.860474015701385</v>
      </c>
      <c r="C20" s="6">
        <v>3.2332781049370083</v>
      </c>
      <c r="D20" s="6">
        <v>-5.2146686639656892</v>
      </c>
      <c r="E20" s="6">
        <v>8.0781664842861109E-4</v>
      </c>
      <c r="F20" s="6">
        <v>-24.316426695951218</v>
      </c>
      <c r="G20" s="6">
        <v>-9.4045213354515518</v>
      </c>
      <c r="H20" s="6">
        <v>-24.316426695951218</v>
      </c>
      <c r="I20" s="6">
        <v>-9.4045213354515518</v>
      </c>
    </row>
    <row r="21" spans="1:9" ht="13.8" thickBot="1" x14ac:dyDescent="0.3">
      <c r="A21" s="7" t="s">
        <v>33</v>
      </c>
      <c r="B21" s="7">
        <v>-2.6942011910970822</v>
      </c>
      <c r="C21" s="7">
        <v>0.19248669324975032</v>
      </c>
      <c r="D21" s="7">
        <v>-13.996817887049327</v>
      </c>
      <c r="E21" s="7">
        <v>6.5824555366257847E-7</v>
      </c>
      <c r="F21" s="7">
        <v>-3.1380763017027826</v>
      </c>
      <c r="G21" s="7">
        <v>-2.2503260804913818</v>
      </c>
      <c r="H21" s="7">
        <v>-3.1380763017027826</v>
      </c>
      <c r="I21" s="7">
        <v>-2.2503260804913818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4"/>
  <sheetViews>
    <sheetView tabSelected="1" zoomScale="150" workbookViewId="0">
      <selection activeCell="L40" sqref="L40:L44"/>
    </sheetView>
  </sheetViews>
  <sheetFormatPr defaultRowHeight="13.2" x14ac:dyDescent="0.25"/>
  <cols>
    <col min="1" max="1" width="12" customWidth="1"/>
    <col min="2" max="2" width="12.21875" bestFit="1" customWidth="1"/>
    <col min="7" max="7" width="12.5546875" bestFit="1" customWidth="1"/>
    <col min="10" max="10" width="12.5546875" customWidth="1"/>
    <col min="11" max="13" width="11.77734375" bestFit="1" customWidth="1"/>
    <col min="14" max="14" width="12.33203125" bestFit="1" customWidth="1"/>
    <col min="15" max="15" width="11.21875" bestFit="1" customWidth="1"/>
  </cols>
  <sheetData>
    <row r="1" spans="1:14" x14ac:dyDescent="0.25">
      <c r="C1" s="1"/>
    </row>
    <row r="2" spans="1:14" x14ac:dyDescent="0.25">
      <c r="A2" s="2"/>
      <c r="B2" s="3"/>
      <c r="C2" s="1"/>
    </row>
    <row r="3" spans="1:14" x14ac:dyDescent="0.25">
      <c r="A3" s="4" t="s">
        <v>0</v>
      </c>
      <c r="B3" s="4" t="s">
        <v>1</v>
      </c>
      <c r="C3" s="1" t="s">
        <v>2</v>
      </c>
      <c r="D3" t="s">
        <v>3</v>
      </c>
      <c r="E3" t="s">
        <v>4</v>
      </c>
      <c r="F3" t="s">
        <v>5</v>
      </c>
      <c r="J3" t="s">
        <v>34</v>
      </c>
    </row>
    <row r="4" spans="1:14" x14ac:dyDescent="0.25">
      <c r="A4" s="10">
        <v>32</v>
      </c>
      <c r="B4" s="10">
        <v>1.794</v>
      </c>
      <c r="C4" s="1">
        <f t="array" ref="C4:C16">A4:A16^2</f>
        <v>1024</v>
      </c>
      <c r="D4">
        <f>SQRT(A4)</f>
        <v>5.6568542494923806</v>
      </c>
      <c r="E4">
        <f t="array" ref="E4:E16">1/A4:A16</f>
        <v>3.125E-2</v>
      </c>
      <c r="F4">
        <f t="array" ref="F4:F16">LN(A4:A16)</f>
        <v>3.4657359027997265</v>
      </c>
      <c r="J4">
        <v>1</v>
      </c>
      <c r="K4">
        <v>1024</v>
      </c>
      <c r="L4">
        <v>5.6568542494923806</v>
      </c>
      <c r="M4">
        <v>3.125E-2</v>
      </c>
      <c r="N4">
        <v>3.4657359027997265</v>
      </c>
    </row>
    <row r="5" spans="1:14" x14ac:dyDescent="0.25">
      <c r="A5" s="10">
        <v>40</v>
      </c>
      <c r="B5" s="10">
        <v>1.546</v>
      </c>
      <c r="C5" s="1">
        <v>1600</v>
      </c>
      <c r="D5">
        <f t="shared" ref="D5:D16" si="0">SQRT(A5)</f>
        <v>6.324555320336759</v>
      </c>
      <c r="E5">
        <v>2.5000000000000001E-2</v>
      </c>
      <c r="F5">
        <v>3.6888794541139363</v>
      </c>
      <c r="J5">
        <v>1</v>
      </c>
      <c r="K5">
        <v>1600</v>
      </c>
      <c r="L5">
        <v>6.324555320336759</v>
      </c>
      <c r="M5">
        <v>2.5000000000000001E-2</v>
      </c>
      <c r="N5">
        <v>3.6888794541139363</v>
      </c>
    </row>
    <row r="6" spans="1:14" x14ac:dyDescent="0.25">
      <c r="A6" s="10">
        <v>50</v>
      </c>
      <c r="B6" s="10">
        <v>1.31</v>
      </c>
      <c r="C6" s="1">
        <v>2500</v>
      </c>
      <c r="D6">
        <f t="shared" si="0"/>
        <v>7.0710678118654755</v>
      </c>
      <c r="E6">
        <v>0.02</v>
      </c>
      <c r="F6">
        <v>3.912023005428146</v>
      </c>
      <c r="J6">
        <v>1</v>
      </c>
      <c r="K6">
        <v>2500</v>
      </c>
      <c r="L6">
        <v>7.0710678118654755</v>
      </c>
      <c r="M6">
        <v>0.02</v>
      </c>
      <c r="N6">
        <v>3.912023005428146</v>
      </c>
    </row>
    <row r="7" spans="1:14" x14ac:dyDescent="0.25">
      <c r="A7" s="10">
        <v>60</v>
      </c>
      <c r="B7" s="10">
        <v>1.129</v>
      </c>
      <c r="C7" s="1">
        <v>3600</v>
      </c>
      <c r="D7">
        <f t="shared" si="0"/>
        <v>7.745966692414834</v>
      </c>
      <c r="E7">
        <v>1.6666666666666666E-2</v>
      </c>
      <c r="F7">
        <v>4.0943445622221004</v>
      </c>
      <c r="J7">
        <v>1</v>
      </c>
      <c r="K7">
        <v>3600</v>
      </c>
      <c r="L7">
        <v>7.745966692414834</v>
      </c>
      <c r="M7">
        <v>1.6666666666666666E-2</v>
      </c>
      <c r="N7">
        <v>4.0943445622221004</v>
      </c>
    </row>
    <row r="8" spans="1:14" x14ac:dyDescent="0.25">
      <c r="A8" s="10">
        <v>70</v>
      </c>
      <c r="B8" s="10">
        <v>0.98199999999999998</v>
      </c>
      <c r="C8" s="1">
        <v>4900</v>
      </c>
      <c r="D8">
        <f t="shared" si="0"/>
        <v>8.3666002653407556</v>
      </c>
      <c r="E8">
        <v>1.4285714285714285E-2</v>
      </c>
      <c r="F8">
        <v>4.2484952420493594</v>
      </c>
      <c r="J8">
        <v>1</v>
      </c>
      <c r="K8">
        <v>4900</v>
      </c>
      <c r="L8">
        <v>8.3666002653407556</v>
      </c>
      <c r="M8">
        <v>1.4285714285714285E-2</v>
      </c>
      <c r="N8">
        <v>4.2484952420493594</v>
      </c>
    </row>
    <row r="9" spans="1:14" x14ac:dyDescent="0.25">
      <c r="A9" s="10">
        <v>80</v>
      </c>
      <c r="B9" s="10">
        <v>0.86199999999999999</v>
      </c>
      <c r="C9" s="1">
        <v>6400</v>
      </c>
      <c r="D9">
        <f t="shared" si="0"/>
        <v>8.9442719099991592</v>
      </c>
      <c r="E9">
        <v>1.2500000000000001E-2</v>
      </c>
      <c r="F9">
        <v>4.3820266346738812</v>
      </c>
      <c r="J9">
        <v>1</v>
      </c>
      <c r="K9">
        <v>6400</v>
      </c>
      <c r="L9">
        <v>8.9442719099991592</v>
      </c>
      <c r="M9">
        <v>1.2500000000000001E-2</v>
      </c>
      <c r="N9">
        <v>4.3820266346738812</v>
      </c>
    </row>
    <row r="10" spans="1:14" x14ac:dyDescent="0.25">
      <c r="A10" s="10">
        <v>90</v>
      </c>
      <c r="B10" s="10">
        <v>0.76400000000000001</v>
      </c>
      <c r="C10" s="1">
        <v>8100</v>
      </c>
      <c r="D10">
        <f t="shared" si="0"/>
        <v>9.4868329805051381</v>
      </c>
      <c r="E10">
        <v>1.1111111111111112E-2</v>
      </c>
      <c r="F10">
        <v>4.499809670330265</v>
      </c>
      <c r="J10">
        <v>1</v>
      </c>
      <c r="K10">
        <v>8100</v>
      </c>
      <c r="L10">
        <v>9.4868329805051381</v>
      </c>
      <c r="M10">
        <v>1.1111111111111112E-2</v>
      </c>
      <c r="N10">
        <v>4.499809670330265</v>
      </c>
    </row>
    <row r="11" spans="1:14" x14ac:dyDescent="0.25">
      <c r="A11" s="10">
        <v>100</v>
      </c>
      <c r="B11" s="10">
        <v>0.68200000000000005</v>
      </c>
      <c r="C11" s="1">
        <v>10000</v>
      </c>
      <c r="D11">
        <f t="shared" si="0"/>
        <v>10</v>
      </c>
      <c r="E11">
        <v>0.01</v>
      </c>
      <c r="F11">
        <v>4.6051701859880918</v>
      </c>
      <c r="J11">
        <v>1</v>
      </c>
      <c r="K11">
        <v>10000</v>
      </c>
      <c r="L11">
        <v>10</v>
      </c>
      <c r="M11">
        <v>0.01</v>
      </c>
      <c r="N11">
        <v>4.6051701859880918</v>
      </c>
    </row>
    <row r="12" spans="1:14" x14ac:dyDescent="0.25">
      <c r="A12" s="10">
        <v>120</v>
      </c>
      <c r="B12" s="10">
        <v>0.55900000000000005</v>
      </c>
      <c r="C12" s="1">
        <v>14400</v>
      </c>
      <c r="D12">
        <f t="shared" si="0"/>
        <v>10.954451150103322</v>
      </c>
      <c r="E12">
        <v>8.3333333333333332E-3</v>
      </c>
      <c r="F12">
        <v>4.7874917427820458</v>
      </c>
      <c r="J12">
        <v>1</v>
      </c>
      <c r="K12">
        <v>14400</v>
      </c>
      <c r="L12">
        <v>10.954451150103322</v>
      </c>
      <c r="M12">
        <v>8.3333333333333332E-3</v>
      </c>
      <c r="N12">
        <v>4.7874917427820458</v>
      </c>
    </row>
    <row r="13" spans="1:14" x14ac:dyDescent="0.25">
      <c r="A13" s="10">
        <v>140</v>
      </c>
      <c r="B13" s="10">
        <v>0.47</v>
      </c>
      <c r="C13" s="1">
        <v>19600</v>
      </c>
      <c r="D13">
        <f t="shared" si="0"/>
        <v>11.832159566199232</v>
      </c>
      <c r="E13">
        <v>7.1428571428571426E-3</v>
      </c>
      <c r="F13">
        <v>4.9416424226093039</v>
      </c>
      <c r="J13">
        <v>1</v>
      </c>
      <c r="K13">
        <v>19600</v>
      </c>
      <c r="L13">
        <v>11.832159566199232</v>
      </c>
      <c r="M13">
        <v>7.1428571428571426E-3</v>
      </c>
      <c r="N13">
        <v>4.9416424226093039</v>
      </c>
    </row>
    <row r="14" spans="1:14" x14ac:dyDescent="0.25">
      <c r="A14" s="10">
        <v>160</v>
      </c>
      <c r="B14" s="10">
        <v>0.40100000000000002</v>
      </c>
      <c r="C14" s="1">
        <v>25600</v>
      </c>
      <c r="D14">
        <f t="shared" si="0"/>
        <v>12.649110640673518</v>
      </c>
      <c r="E14">
        <v>6.2500000000000003E-3</v>
      </c>
      <c r="F14">
        <v>5.0751738152338266</v>
      </c>
      <c r="J14">
        <v>1</v>
      </c>
      <c r="K14">
        <v>25600</v>
      </c>
      <c r="L14">
        <v>12.649110640673518</v>
      </c>
      <c r="M14">
        <v>6.2500000000000003E-3</v>
      </c>
      <c r="N14">
        <v>5.0751738152338266</v>
      </c>
    </row>
    <row r="15" spans="1:14" x14ac:dyDescent="0.25">
      <c r="A15" s="10">
        <v>180</v>
      </c>
      <c r="B15" s="10">
        <v>0.34699999999999998</v>
      </c>
      <c r="C15" s="1">
        <v>32400</v>
      </c>
      <c r="D15">
        <f t="shared" si="0"/>
        <v>13.416407864998739</v>
      </c>
      <c r="E15">
        <v>5.5555555555555558E-3</v>
      </c>
      <c r="F15">
        <v>5.1929568508902104</v>
      </c>
      <c r="J15">
        <v>1</v>
      </c>
      <c r="K15">
        <v>32400</v>
      </c>
      <c r="L15">
        <v>13.416407864998739</v>
      </c>
      <c r="M15">
        <v>5.5555555555555558E-3</v>
      </c>
      <c r="N15">
        <v>5.1929568508902104</v>
      </c>
    </row>
    <row r="16" spans="1:14" x14ac:dyDescent="0.25">
      <c r="A16" s="10">
        <v>200</v>
      </c>
      <c r="B16" s="10">
        <v>0.30499999999999999</v>
      </c>
      <c r="C16" s="1">
        <v>40000</v>
      </c>
      <c r="D16">
        <f t="shared" si="0"/>
        <v>14.142135623730951</v>
      </c>
      <c r="E16">
        <v>5.0000000000000001E-3</v>
      </c>
      <c r="F16">
        <v>5.2983173665480363</v>
      </c>
      <c r="J16">
        <v>1</v>
      </c>
      <c r="K16">
        <v>40000</v>
      </c>
      <c r="L16">
        <v>14.142135623730951</v>
      </c>
      <c r="M16">
        <v>5.0000000000000001E-3</v>
      </c>
      <c r="N16">
        <v>5.2983173665480363</v>
      </c>
    </row>
    <row r="18" spans="3:22" x14ac:dyDescent="0.25">
      <c r="J18" t="s">
        <v>38</v>
      </c>
    </row>
    <row r="19" spans="3:22" x14ac:dyDescent="0.25">
      <c r="C19" s="5"/>
      <c r="J19">
        <f t="array" ref="J19:V23">TRANSPOSE(bigX)</f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3:22" x14ac:dyDescent="0.25">
      <c r="C20" s="5"/>
      <c r="J20">
        <v>1024</v>
      </c>
      <c r="K20">
        <v>1600</v>
      </c>
      <c r="L20">
        <v>2500</v>
      </c>
      <c r="M20">
        <v>3600</v>
      </c>
      <c r="N20">
        <v>4900</v>
      </c>
      <c r="O20">
        <v>6400</v>
      </c>
      <c r="P20">
        <v>8100</v>
      </c>
      <c r="Q20">
        <v>10000</v>
      </c>
      <c r="R20">
        <v>14400</v>
      </c>
      <c r="S20">
        <v>19600</v>
      </c>
      <c r="T20">
        <v>25600</v>
      </c>
      <c r="U20">
        <v>32400</v>
      </c>
      <c r="V20">
        <v>40000</v>
      </c>
    </row>
    <row r="21" spans="3:22" x14ac:dyDescent="0.25">
      <c r="C21" s="5"/>
      <c r="J21">
        <v>5.6568542494923806</v>
      </c>
      <c r="K21">
        <v>6.324555320336759</v>
      </c>
      <c r="L21">
        <v>7.0710678118654755</v>
      </c>
      <c r="M21">
        <v>7.745966692414834</v>
      </c>
      <c r="N21">
        <v>8.3666002653407556</v>
      </c>
      <c r="O21">
        <v>8.9442719099991592</v>
      </c>
      <c r="P21">
        <v>9.4868329805051381</v>
      </c>
      <c r="Q21">
        <v>10</v>
      </c>
      <c r="R21">
        <v>10.954451150103322</v>
      </c>
      <c r="S21">
        <v>11.832159566199232</v>
      </c>
      <c r="T21">
        <v>12.649110640673518</v>
      </c>
      <c r="U21">
        <v>13.416407864998739</v>
      </c>
      <c r="V21">
        <v>14.142135623730951</v>
      </c>
    </row>
    <row r="22" spans="3:22" x14ac:dyDescent="0.25">
      <c r="C22" s="5"/>
      <c r="J22">
        <v>3.125E-2</v>
      </c>
      <c r="K22">
        <v>2.5000000000000001E-2</v>
      </c>
      <c r="L22">
        <v>0.02</v>
      </c>
      <c r="M22">
        <v>1.6666666666666666E-2</v>
      </c>
      <c r="N22">
        <v>1.4285714285714285E-2</v>
      </c>
      <c r="O22">
        <v>1.2500000000000001E-2</v>
      </c>
      <c r="P22">
        <v>1.1111111111111112E-2</v>
      </c>
      <c r="Q22">
        <v>0.01</v>
      </c>
      <c r="R22">
        <v>8.3333333333333332E-3</v>
      </c>
      <c r="S22">
        <v>7.1428571428571426E-3</v>
      </c>
      <c r="T22">
        <v>6.2500000000000003E-3</v>
      </c>
      <c r="U22">
        <v>5.5555555555555558E-3</v>
      </c>
      <c r="V22">
        <v>5.0000000000000001E-3</v>
      </c>
    </row>
    <row r="23" spans="3:22" x14ac:dyDescent="0.25">
      <c r="C23" s="5"/>
      <c r="J23">
        <v>3.4657359027997265</v>
      </c>
      <c r="K23">
        <v>3.6888794541139363</v>
      </c>
      <c r="L23">
        <v>3.912023005428146</v>
      </c>
      <c r="M23">
        <v>4.0943445622221004</v>
      </c>
      <c r="N23">
        <v>4.2484952420493594</v>
      </c>
      <c r="O23">
        <v>4.3820266346738812</v>
      </c>
      <c r="P23">
        <v>4.499809670330265</v>
      </c>
      <c r="Q23">
        <v>4.6051701859880918</v>
      </c>
      <c r="R23">
        <v>4.7874917427820458</v>
      </c>
      <c r="S23">
        <v>4.9416424226093039</v>
      </c>
      <c r="T23">
        <v>5.0751738152338266</v>
      </c>
      <c r="U23">
        <v>5.1929568508902104</v>
      </c>
      <c r="V23">
        <v>5.2983173665480363</v>
      </c>
    </row>
    <row r="24" spans="3:22" x14ac:dyDescent="0.25">
      <c r="C24" s="5"/>
    </row>
    <row r="25" spans="3:22" x14ac:dyDescent="0.25">
      <c r="C25" s="5"/>
      <c r="J25" t="s">
        <v>39</v>
      </c>
    </row>
    <row r="26" spans="3:22" x14ac:dyDescent="0.25">
      <c r="J26">
        <f t="array" ref="J26:N30">MMULT(transposeArr,bigX)</f>
        <v>13</v>
      </c>
      <c r="K26">
        <v>170124</v>
      </c>
      <c r="L26">
        <v>126.59041407566028</v>
      </c>
      <c r="M26">
        <v>0.17309523809523811</v>
      </c>
      <c r="N26">
        <v>58.192066855668926</v>
      </c>
    </row>
    <row r="27" spans="3:22" x14ac:dyDescent="0.25">
      <c r="J27">
        <v>170124</v>
      </c>
      <c r="K27">
        <v>4150038576</v>
      </c>
      <c r="L27">
        <v>2050406.7817880639</v>
      </c>
      <c r="M27">
        <v>1322</v>
      </c>
      <c r="N27">
        <v>841238.5948460839</v>
      </c>
    </row>
    <row r="28" spans="3:22" x14ac:dyDescent="0.25">
      <c r="J28">
        <v>126.59041407566028</v>
      </c>
      <c r="K28">
        <v>2050406.7817880639</v>
      </c>
      <c r="L28">
        <v>1322</v>
      </c>
      <c r="M28">
        <v>1.4422526318265574</v>
      </c>
      <c r="N28">
        <v>585.50409652230474</v>
      </c>
    </row>
    <row r="29" spans="3:22" x14ac:dyDescent="0.25">
      <c r="J29">
        <v>0.17309523809523811</v>
      </c>
      <c r="K29">
        <v>1322</v>
      </c>
      <c r="L29">
        <v>1.4422526318265574</v>
      </c>
      <c r="M29">
        <v>3.0785202506928701E-3</v>
      </c>
      <c r="N29">
        <v>0.72077787251190717</v>
      </c>
    </row>
    <row r="30" spans="3:22" x14ac:dyDescent="0.25">
      <c r="J30">
        <v>58.192066855668926</v>
      </c>
      <c r="K30">
        <v>841238.5948460839</v>
      </c>
      <c r="L30">
        <v>585.50409652230474</v>
      </c>
      <c r="M30">
        <v>0.72077787251190717</v>
      </c>
      <c r="N30">
        <v>264.53075117079982</v>
      </c>
    </row>
    <row r="32" spans="3:22" x14ac:dyDescent="0.25">
      <c r="J32" t="s">
        <v>35</v>
      </c>
    </row>
    <row r="33" spans="10:14" x14ac:dyDescent="0.25">
      <c r="J33" s="5">
        <f t="array" ref="J33:N37">MINVERSE(XtXy)</f>
        <v>93672.070493908352</v>
      </c>
      <c r="K33">
        <v>-0.211203513908091</v>
      </c>
      <c r="L33">
        <v>6283.8770735588423</v>
      </c>
      <c r="M33">
        <v>-542421.03575565084</v>
      </c>
      <c r="N33">
        <v>-32365.120092784695</v>
      </c>
    </row>
    <row r="34" spans="10:14" x14ac:dyDescent="0.25">
      <c r="J34">
        <v>-0.2112035139077478</v>
      </c>
      <c r="K34">
        <v>5.1516989920501557E-7</v>
      </c>
      <c r="L34">
        <v>-1.4595360048731158E-2</v>
      </c>
      <c r="M34">
        <v>1.198265819575925</v>
      </c>
      <c r="N34">
        <v>7.3862670874715472E-2</v>
      </c>
    </row>
    <row r="35" spans="10:14" x14ac:dyDescent="0.25">
      <c r="J35">
        <v>6283.8770735549788</v>
      </c>
      <c r="K35">
        <v>-1.4595360048745485E-2</v>
      </c>
      <c r="L35">
        <v>426.42457480235345</v>
      </c>
      <c r="M35">
        <v>-36089.287403615504</v>
      </c>
      <c r="N35">
        <v>-2181.427254312528</v>
      </c>
    </row>
    <row r="36" spans="10:14" x14ac:dyDescent="0.25">
      <c r="J36">
        <v>-542421.03575588483</v>
      </c>
      <c r="K36">
        <v>1.1982658195784401</v>
      </c>
      <c r="L36">
        <v>-36089.287403653572</v>
      </c>
      <c r="M36">
        <v>3161311.8034604727</v>
      </c>
      <c r="N36">
        <v>186777.51272016304</v>
      </c>
    </row>
    <row r="37" spans="10:14" x14ac:dyDescent="0.25">
      <c r="J37">
        <v>-32365.120092776597</v>
      </c>
      <c r="K37">
        <v>7.3862670874815836E-2</v>
      </c>
      <c r="L37">
        <v>-2181.4272543133197</v>
      </c>
      <c r="M37">
        <v>186777.51272003527</v>
      </c>
      <c r="N37">
        <v>11204.245952762813</v>
      </c>
    </row>
    <row r="39" spans="10:14" x14ac:dyDescent="0.25">
      <c r="J39" t="s">
        <v>36</v>
      </c>
      <c r="L39" t="s">
        <v>37</v>
      </c>
    </row>
    <row r="40" spans="10:14" x14ac:dyDescent="0.25">
      <c r="J40">
        <f t="array" ref="J40:J44">MMULT(transposeArr,Y)</f>
        <v>11.151</v>
      </c>
      <c r="L40">
        <f t="array" ref="L40:L44">MMULT(inverseArr,XtY)</f>
        <v>9.5072956297080964</v>
      </c>
    </row>
    <row r="41" spans="10:14" x14ac:dyDescent="0.25">
      <c r="J41">
        <v>85957.055999999997</v>
      </c>
      <c r="L41">
        <v>-5.8201348855924095E-6</v>
      </c>
    </row>
    <row r="42" spans="10:14" x14ac:dyDescent="0.25">
      <c r="J42">
        <v>93.654149972523896</v>
      </c>
      <c r="L42">
        <v>0.38111815489537548</v>
      </c>
    </row>
    <row r="43" spans="10:14" x14ac:dyDescent="0.25">
      <c r="J43">
        <v>0.19381613095238093</v>
      </c>
      <c r="L43">
        <v>-16.860474014654756</v>
      </c>
    </row>
    <row r="44" spans="10:14" x14ac:dyDescent="0.25">
      <c r="J44">
        <v>46.647580282106397</v>
      </c>
      <c r="L44">
        <v>-2.6942011911305599</v>
      </c>
    </row>
  </sheetData>
  <phoneticPr fontId="0" type="noConversion"/>
  <printOptions gridLines="1"/>
  <pageMargins left="0.75" right="0.75" top="1" bottom="1" header="0.5" footer="0.5"/>
  <pageSetup orientation="portrait" horizontalDpi="360" r:id="rId1"/>
  <headerFooter alignWithMargins="0"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4</xdr:col>
                    <xdr:colOff>182880</xdr:colOff>
                    <xdr:row>16</xdr:row>
                    <xdr:rowOff>68580</xdr:rowOff>
                  </from>
                  <to>
                    <xdr:col>6</xdr:col>
                    <xdr:colOff>129540</xdr:colOff>
                    <xdr:row>19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6A42C-DC14-4410-BA68-4D18FCA7F4BE}">
  <sheetPr codeName="Sheet2"/>
  <dimension ref="A1"/>
  <sheetViews>
    <sheetView workbookViewId="0">
      <selection sqref="A1:XFD1048576"/>
    </sheetView>
  </sheetViews>
  <sheetFormatPr defaultRowHeight="13.2" x14ac:dyDescent="0.25"/>
  <sheetData/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Sheet3</vt:lpstr>
      <vt:lpstr>Sheet1</vt:lpstr>
      <vt:lpstr>Sheet2</vt:lpstr>
      <vt:lpstr>bigX</vt:lpstr>
      <vt:lpstr>inverseArr</vt:lpstr>
      <vt:lpstr>transposeArr</vt:lpstr>
      <vt:lpstr>XtXy</vt:lpstr>
      <vt:lpstr>XtY</vt:lpstr>
      <vt:lpstr>Y</vt:lpstr>
    </vt:vector>
  </TitlesOfParts>
  <Company>University of Colorado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Clough</dc:creator>
  <cp:lastModifiedBy>Larisa Steigenberger</cp:lastModifiedBy>
  <dcterms:created xsi:type="dcterms:W3CDTF">2000-01-17T07:56:45Z</dcterms:created>
  <dcterms:modified xsi:type="dcterms:W3CDTF">2020-12-22T22:06:33Z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LKochmar@slb.com</vt:lpwstr>
  </property>
  <property fmtid="{D5CDD505-2E9C-101B-9397-08002B2CF9AE}" pid="5" name="MSIP_Label_585f1f62-8d2b-4457-869c-0a13c6549635_SetDate">
    <vt:lpwstr>2020-12-21T12:08:05.9632381Z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b0c8e813-ecf4-4696-a838-c5b9bd07967d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LKochmar@slb.com</vt:lpwstr>
  </property>
  <property fmtid="{D5CDD505-2E9C-101B-9397-08002B2CF9AE}" pid="13" name="MSIP_Label_8bb759f6-5337-4dc5-b19b-e74b6da11f8f_SetDate">
    <vt:lpwstr>2020-12-21T12:08:05.9642356Z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b0c8e813-ecf4-4696-a838-c5b9bd07967d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