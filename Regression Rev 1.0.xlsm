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ochmar\Documents\Github\Regression Toolbox\"/>
    </mc:Choice>
  </mc:AlternateContent>
  <xr:revisionPtr revIDLastSave="0" documentId="10_ncr:100000_{BDE828D8-D2E3-4BF3-9E96-716F43B427F3}" xr6:coauthVersionLast="31" xr6:coauthVersionMax="31" xr10:uidLastSave="{00000000-0000-0000-0000-000000000000}"/>
  <bookViews>
    <workbookView xWindow="0" yWindow="0" windowWidth="23040" windowHeight="8748" xr2:uid="{00000000-000D-0000-FFFF-FFFF00000000}"/>
  </bookViews>
  <sheets>
    <sheet name="Sheet1" sheetId="1" r:id="rId1"/>
  </sheets>
  <calcPr calcId="179017"/>
</workbook>
</file>

<file path=xl/calcChain.xml><?xml version="1.0" encoding="utf-8"?>
<calcChain xmlns="http://schemas.openxmlformats.org/spreadsheetml/2006/main"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C4" i="1" l="1" a="1"/>
  <c r="C6" i="1" s="1"/>
  <c r="C10" i="1" l="1"/>
  <c r="C9" i="1"/>
  <c r="C13" i="1"/>
  <c r="C5" i="1"/>
  <c r="C12" i="1"/>
  <c r="C4" i="1"/>
  <c r="C11" i="1"/>
  <c r="C16" i="1"/>
  <c r="C8" i="1"/>
  <c r="C15" i="1"/>
  <c r="C7" i="1"/>
  <c r="C14" i="1"/>
</calcChain>
</file>

<file path=xl/sharedStrings.xml><?xml version="1.0" encoding="utf-8"?>
<sst xmlns="http://schemas.openxmlformats.org/spreadsheetml/2006/main" count="3" uniqueCount="3">
  <si>
    <t>x</t>
  </si>
  <si>
    <t>y</t>
  </si>
  <si>
    <t>x^2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</si>
</sst>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_)"/>
  </numFmts>
  <fonts count="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 vertical="center" wrapText="1"/>
    </xf>
    <xf numFmtId="0" fontId="1" fillId="0" borderId="1" xfId="0" applyFont="1" applyBorder="1" applyProtection="1"/>
    <xf numFmtId="164" fontId="1" fillId="0" borderId="1" xfId="0" applyNumberFormat="1" applyFont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60960</xdr:rowOff>
        </xdr:from>
        <xdr:to>
          <xdr:col>6</xdr:col>
          <xdr:colOff>137160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1"/>
  <sheetViews>
    <sheetView tabSelected="1" zoomScale="150" workbookViewId="0">
      <selection activeCell="I6" sqref="I6"/>
    </sheetView>
  </sheetViews>
  <sheetFormatPr defaultRowHeight="13.2" x14ac:dyDescent="0.25"/>
  <cols>
    <col min="1" max="1" width="12" customWidth="1"/>
    <col min="2" max="2" width="12.21875" bestFit="1" customWidth="1"/>
  </cols>
  <sheetData>
    <row r="1" spans="1:4" x14ac:dyDescent="0.25">
      <c r="C1" s="1"/>
    </row>
    <row r="2" spans="1:4" x14ac:dyDescent="0.25">
      <c r="A2" s="2"/>
      <c r="B2" s="3"/>
      <c r="C2" s="1"/>
    </row>
    <row r="3" spans="1:4" x14ac:dyDescent="0.25">
      <c r="A3" s="4" t="s">
        <v>0</v>
      </c>
      <c r="B3" s="4" t="s">
        <v>1</v>
      </c>
      <c r="C3" s="1" t="s">
        <v>2</v>
      </c>
      <c r="D3">
        <f>32^2</f>
        <v>1024</v>
      </c>
    </row>
    <row r="4" spans="1:4" x14ac:dyDescent="0.25">
      <c r="A4" s="5">
        <v>32</v>
      </c>
      <c r="B4" s="6">
        <v>1.794</v>
      </c>
      <c r="C4" s="1">
        <f t="array" ref="C4:C16">A4:A16^2</f>
        <v>1024</v>
      </c>
      <c r="D4">
        <f>40^2</f>
        <v>1600</v>
      </c>
    </row>
    <row r="5" spans="1:4" x14ac:dyDescent="0.25">
      <c r="A5" s="5">
        <v>40</v>
      </c>
      <c r="B5" s="6">
        <v>1.546</v>
      </c>
      <c r="C5" s="1">
        <v>1600</v>
      </c>
      <c r="D5">
        <f>50^2</f>
        <v>2500</v>
      </c>
    </row>
    <row r="6" spans="1:4" x14ac:dyDescent="0.25">
      <c r="A6" s="5">
        <v>50</v>
      </c>
      <c r="B6" s="6">
        <v>1.31</v>
      </c>
      <c r="C6" s="1">
        <v>2500</v>
      </c>
      <c r="D6">
        <f>60^2</f>
        <v>3600</v>
      </c>
    </row>
    <row r="7" spans="1:4" x14ac:dyDescent="0.25">
      <c r="A7" s="5">
        <v>60</v>
      </c>
      <c r="B7" s="6">
        <v>1.129</v>
      </c>
      <c r="C7" s="1">
        <v>3600</v>
      </c>
      <c r="D7">
        <f>70^2</f>
        <v>4900</v>
      </c>
    </row>
    <row r="8" spans="1:4" x14ac:dyDescent="0.25">
      <c r="A8" s="5">
        <v>70</v>
      </c>
      <c r="B8" s="6">
        <v>0.98199999999999998</v>
      </c>
      <c r="C8" s="1">
        <v>4900</v>
      </c>
      <c r="D8">
        <f>80^2</f>
        <v>6400</v>
      </c>
    </row>
    <row r="9" spans="1:4" x14ac:dyDescent="0.25">
      <c r="A9" s="5">
        <v>80</v>
      </c>
      <c r="B9" s="6">
        <v>0.86199999999999999</v>
      </c>
      <c r="C9" s="1">
        <v>6400</v>
      </c>
      <c r="D9">
        <f>90^2</f>
        <v>8100</v>
      </c>
    </row>
    <row r="10" spans="1:4" x14ac:dyDescent="0.25">
      <c r="A10" s="5">
        <v>90</v>
      </c>
      <c r="B10" s="6">
        <v>0.76400000000000001</v>
      </c>
      <c r="C10" s="1">
        <v>8100</v>
      </c>
      <c r="D10">
        <f>100^2</f>
        <v>10000</v>
      </c>
    </row>
    <row r="11" spans="1:4" x14ac:dyDescent="0.25">
      <c r="A11" s="5">
        <v>100</v>
      </c>
      <c r="B11" s="6">
        <v>0.68200000000000005</v>
      </c>
      <c r="C11" s="1">
        <v>10000</v>
      </c>
      <c r="D11">
        <f>120^2</f>
        <v>14400</v>
      </c>
    </row>
    <row r="12" spans="1:4" x14ac:dyDescent="0.25">
      <c r="A12" s="5">
        <v>120</v>
      </c>
      <c r="B12" s="6">
        <v>0.55900000000000005</v>
      </c>
      <c r="C12" s="1">
        <v>14400</v>
      </c>
      <c r="D12">
        <f>140^2</f>
        <v>19600</v>
      </c>
    </row>
    <row r="13" spans="1:4" x14ac:dyDescent="0.25">
      <c r="A13" s="5">
        <v>140</v>
      </c>
      <c r="B13" s="6">
        <v>0.47</v>
      </c>
      <c r="C13" s="1">
        <v>19600</v>
      </c>
      <c r="D13">
        <f>160^2</f>
        <v>25600</v>
      </c>
    </row>
    <row r="14" spans="1:4" x14ac:dyDescent="0.25">
      <c r="A14" s="5">
        <v>160</v>
      </c>
      <c r="B14" s="6">
        <v>0.40100000000000002</v>
      </c>
      <c r="C14" s="1">
        <v>25600</v>
      </c>
      <c r="D14">
        <f>180^2</f>
        <v>32400</v>
      </c>
    </row>
    <row r="15" spans="1:4" x14ac:dyDescent="0.25">
      <c r="A15" s="5">
        <v>180</v>
      </c>
      <c r="B15" s="6">
        <v>0.34699999999999998</v>
      </c>
      <c r="C15" s="1">
        <v>32400</v>
      </c>
      <c r="D15">
        <f>200^2</f>
        <v>40000</v>
      </c>
    </row>
    <row r="16" spans="1:4" x14ac:dyDescent="0.25">
      <c r="A16" s="5">
        <v>200</v>
      </c>
      <c r="B16" s="6">
        <v>0.30499999999999999</v>
      </c>
      <c r="C16" s="1">
        <v>40000</v>
      </c>
    </row>
    <row r="19" spans="1:1" x14ac:dyDescent="0.25">
      <c r="A19">
        <f>32^2</f>
        <v>1024</v>
      </c>
    </row>
    <row r="20" spans="1:1" x14ac:dyDescent="0.25">
      <c r="A20">
        <f>40^2</f>
        <v>1600</v>
      </c>
    </row>
    <row r="21" spans="1:1" x14ac:dyDescent="0.25">
      <c r="A21">
        <f>50^2</f>
        <v>2500</v>
      </c>
    </row>
    <row r="22" spans="1:1" x14ac:dyDescent="0.25">
      <c r="A22">
        <f>60^2</f>
        <v>3600</v>
      </c>
    </row>
    <row r="23" spans="1:1" x14ac:dyDescent="0.25">
      <c r="A23">
        <f>70^2</f>
        <v>4900</v>
      </c>
    </row>
    <row r="24" spans="1:1" x14ac:dyDescent="0.25">
      <c r="A24">
        <f>80^2</f>
        <v>6400</v>
      </c>
    </row>
    <row r="25" spans="1:1" x14ac:dyDescent="0.25">
      <c r="A25">
        <f>90^2</f>
        <v>8100</v>
      </c>
    </row>
    <row r="26" spans="1:1" x14ac:dyDescent="0.25">
      <c r="A26">
        <f>100^2</f>
        <v>10000</v>
      </c>
    </row>
    <row r="27" spans="1:1" x14ac:dyDescent="0.25">
      <c r="A27">
        <f>120^2</f>
        <v>14400</v>
      </c>
    </row>
    <row r="28" spans="1:1" x14ac:dyDescent="0.25">
      <c r="A28">
        <f>140^2</f>
        <v>19600</v>
      </c>
    </row>
    <row r="29" spans="1:1" x14ac:dyDescent="0.25">
      <c r="A29">
        <f>160^2</f>
        <v>25600</v>
      </c>
    </row>
    <row r="30" spans="1:1" x14ac:dyDescent="0.25">
      <c r="A30">
        <f>180^2</f>
        <v>32400</v>
      </c>
    </row>
    <row r="31" spans="1:1" x14ac:dyDescent="0.25">
      <c r="A31">
        <f>200^2</f>
        <v>40000</v>
      </c>
    </row>
  </sheetData>
  <phoneticPr fontId="0" type="noConversion"/>
  <printOptions gridLines="1"/>
  <pageMargins left="0.75" right="0.75" top="1" bottom="1" header="0.5" footer="0.5"/>
  <pageSetup orientation="portrait" horizontalDpi="360" r:id="rId1"/>
  <headerFooter alignWithMargins="0"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4</xdr:col>
                    <xdr:colOff>190500</xdr:colOff>
                    <xdr:row>5</xdr:row>
                    <xdr:rowOff>60960</xdr:rowOff>
                  </from>
                  <to>
                    <xdr:col>6</xdr:col>
                    <xdr:colOff>137160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Colorado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Clough</dc:creator>
  <cp:lastModifiedBy>Larisa Steigenberger</cp:lastModifiedBy>
  <dcterms:created xsi:type="dcterms:W3CDTF">2000-01-17T07:56:45Z</dcterms:created>
  <dcterms:modified xsi:type="dcterms:W3CDTF">2020-12-21T15:10:57Z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2020-12-21T12:08:05.9632381Z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b0c8e813-ecf4-4696-a838-c5b9bd07967d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2020-12-21T12:08:05.9642356Z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b0c8e813-ecf4-4696-a838-c5b9bd07967d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